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3040" windowHeight="8580"/>
  </bookViews>
  <sheets>
    <sheet name="Question 1" sheetId="28" r:id="rId1"/>
    <sheet name="Question 2.1" sheetId="32" r:id="rId2"/>
    <sheet name="Question 2.2" sheetId="33" r:id="rId3"/>
    <sheet name="Question 2.3" sheetId="34" r:id="rId4"/>
    <sheet name="Question 3" sheetId="23" r:id="rId5"/>
    <sheet name="Question 4" sheetId="24" r:id="rId6"/>
    <sheet name="4 Table 1" sheetId="26" r:id="rId7"/>
    <sheet name="4 Tble 2" sheetId="27" r:id="rId8"/>
  </sheets>
  <calcPr calcId="152511"/>
  <pivotCaches>
    <pivotCache cacheId="23" r:id="rId9"/>
  </pivotCaches>
</workbook>
</file>

<file path=xl/calcChain.xml><?xml version="1.0" encoding="utf-8"?>
<calcChain xmlns="http://schemas.openxmlformats.org/spreadsheetml/2006/main">
  <c r="C3" i="24" l="1"/>
  <c r="C4" i="24"/>
  <c r="C5" i="24"/>
  <c r="C6" i="24"/>
  <c r="C7" i="24"/>
  <c r="C8" i="24"/>
  <c r="C9" i="24"/>
  <c r="C10" i="24"/>
  <c r="C11" i="24"/>
  <c r="C2" i="24"/>
  <c r="F3" i="23"/>
  <c r="F4" i="23"/>
  <c r="F5" i="23"/>
  <c r="F6" i="23"/>
  <c r="F2" i="23"/>
  <c r="D14" i="23"/>
  <c r="F14" i="23" s="1"/>
  <c r="F8" i="23"/>
  <c r="F9" i="23"/>
  <c r="F10" i="23"/>
  <c r="F11" i="23"/>
  <c r="F12" i="23"/>
  <c r="F13" i="23"/>
  <c r="F15" i="23"/>
  <c r="F7" i="23"/>
  <c r="F20" i="23" l="1"/>
  <c r="F17" i="23"/>
  <c r="D3" i="23"/>
  <c r="D4" i="23"/>
  <c r="D5" i="23"/>
  <c r="D6" i="23"/>
  <c r="D7" i="23"/>
  <c r="D8" i="23"/>
  <c r="D9" i="23"/>
  <c r="D10" i="23"/>
  <c r="D11" i="23"/>
  <c r="D12" i="23"/>
  <c r="D13" i="23"/>
  <c r="D15" i="23"/>
  <c r="D2" i="23"/>
</calcChain>
</file>

<file path=xl/sharedStrings.xml><?xml version="1.0" encoding="utf-8"?>
<sst xmlns="http://schemas.openxmlformats.org/spreadsheetml/2006/main" count="137" uniqueCount="36">
  <si>
    <t>University</t>
  </si>
  <si>
    <t>Arts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</si>
  <si>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</si>
  <si>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</si>
  <si>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</si>
  <si>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</si>
  <si>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</si>
  <si>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</si>
  <si>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</si>
  <si>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</si>
  <si>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Physics</t>
  </si>
  <si>
    <t>Psychology</t>
  </si>
  <si>
    <t>Penn State</t>
  </si>
  <si>
    <t>Étiquettes de lignes</t>
  </si>
  <si>
    <t>Total général</t>
  </si>
  <si>
    <t>Étiquettes de colonnes</t>
  </si>
  <si>
    <t xml:space="preserve">ID </t>
  </si>
  <si>
    <t xml:space="preserve">PU </t>
  </si>
  <si>
    <t xml:space="preserve">QTE </t>
  </si>
  <si>
    <t>PT</t>
  </si>
  <si>
    <t xml:space="preserve"> Remise </t>
  </si>
  <si>
    <t>Val Remise</t>
  </si>
  <si>
    <t xml:space="preserve"> Total a payer</t>
  </si>
  <si>
    <t>Total facture :</t>
  </si>
  <si>
    <t>TTC :</t>
  </si>
  <si>
    <t>Val TVA :</t>
  </si>
  <si>
    <t>TVA :</t>
  </si>
  <si>
    <t>Distance (m)</t>
  </si>
  <si>
    <t>Time (s)</t>
  </si>
  <si>
    <t>Speed (m/s)</t>
  </si>
  <si>
    <t>Faculty</t>
  </si>
  <si>
    <t>Ivy League Applicants</t>
  </si>
  <si>
    <t>Students</t>
  </si>
  <si>
    <t>yale</t>
  </si>
  <si>
    <t>Somme de Students</t>
  </si>
  <si>
    <t>Moyenne de Students2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</si>
</sst>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DZD]\ * #,##0.00_-;\-[$DZD]\ * #,##0.00_-;_-[$DZD]\ * &quot;-&quot;??_-;_-@_-"/>
  </numFmts>
  <fonts count="10" x14ac:knownFonts="1">
    <font>
      <sz val="11"/>
      <color theme="1"/>
      <name val="Calibri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"/>
      <scheme val="minor"/>
    </font>
    <font>
      <sz val="18"/>
      <color theme="1"/>
      <name val="Calibri"/>
      <family val="2"/>
      <scheme val="minor"/>
    </font>
    <font>
      <sz val="18"/>
      <color rgb="FF0066CC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BAD5B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2">
    <xf numFmtId="0" fontId="0" fillId="0" borderId="0" xfId="0"/>
    <xf numFmtId="4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43" fontId="0" fillId="0" borderId="0" xfId="0" applyNumberFormat="1"/>
    <xf numFmtId="164" fontId="1" fillId="0" borderId="2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2" xfId="2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9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 vertical="center"/>
    </xf>
    <xf numFmtId="164" fontId="6" fillId="0" borderId="5" xfId="0" applyNumberFormat="1" applyFont="1" applyBorder="1" applyAlignment="1">
      <alignment horizontal="right" vertical="center"/>
    </xf>
    <xf numFmtId="164" fontId="6" fillId="0" borderId="4" xfId="1" applyNumberFormat="1" applyFont="1" applyBorder="1" applyAlignment="1">
      <alignment horizontal="right" vertical="center"/>
    </xf>
    <xf numFmtId="164" fontId="6" fillId="0" borderId="5" xfId="1" applyNumberFormat="1" applyFont="1" applyBorder="1" applyAlignment="1">
      <alignment horizontal="right" vertical="center"/>
    </xf>
    <xf numFmtId="9" fontId="6" fillId="0" borderId="5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3">
    <cellStyle name="Milliers" xfId="1" builtinId="3"/>
    <cellStyle name="Monétaire" xfId="2" builtinId="4"/>
    <cellStyle name="Normal" xfId="0" builtinId="0"/>
  </cellStyles>
  <dxfs count="18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Light16"/>
  <colors>
    <mruColors>
      <color rgb="FF6BAD5B"/>
      <color rgb="FF39CF56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Speed/Time</a:t>
            </a:r>
          </a:p>
        </c:rich>
      </c:tx>
      <c:layout>
        <c:manualLayout>
          <c:xMode val="edge"/>
          <c:yMode val="edge"/>
          <c:x val="0.43775585513423099"/>
          <c:y val="1.0080645161290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0340905083601592E-2"/>
          <c:y val="8.0996264075861482E-2"/>
          <c:w val="0.94813262905476547"/>
          <c:h val="0.7948123042079418"/>
        </c:manualLayout>
      </c:layout>
      <c:lineChart>
        <c:grouping val="standard"/>
        <c:varyColors val="0"/>
        <c:ser>
          <c:idx val="0"/>
          <c:order val="0"/>
          <c:tx>
            <c:strRef>
              <c:f>'Question 4'!$C$1</c:f>
              <c:strCache>
                <c:ptCount val="1"/>
                <c:pt idx="0">
                  <c:v>Speed (m/s)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'Question 4'!$A$2:$A$11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'Question 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82711264"/>
        <c:axId val="-1339898704"/>
      </c:lineChart>
      <c:catAx>
        <c:axId val="-13827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339898704"/>
        <c:crosses val="autoZero"/>
        <c:auto val="1"/>
        <c:lblAlgn val="ctr"/>
        <c:lblOffset val="100"/>
        <c:noMultiLvlLbl val="0"/>
      </c:catAx>
      <c:valAx>
        <c:axId val="-13398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38271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73652273792072"/>
          <c:y val="0.89939119253238509"/>
          <c:w val="0.248348519172746"/>
          <c:h val="9.8858281344115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Speed/Distance</a:t>
            </a:r>
          </a:p>
        </c:rich>
      </c:tx>
      <c:layout>
        <c:manualLayout>
          <c:xMode val="edge"/>
          <c:yMode val="edge"/>
          <c:x val="0.42387043573576294"/>
          <c:y val="1.3253810470510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3.0311815049964396E-2"/>
          <c:y val="9.1688712867154035E-2"/>
          <c:w val="0.94425413058999819"/>
          <c:h val="0.76604989485658226"/>
        </c:manualLayout>
      </c:layout>
      <c:lineChart>
        <c:grouping val="standard"/>
        <c:varyColors val="0"/>
        <c:ser>
          <c:idx val="0"/>
          <c:order val="0"/>
          <c:tx>
            <c:v>Distance(m)</c:v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'Question 4'!$B$2:$B$11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cat>
          <c:val>
            <c:numRef>
              <c:f>'Question 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8683440"/>
        <c:axId val="-1038682352"/>
      </c:lineChart>
      <c:catAx>
        <c:axId val="-10386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038682352"/>
        <c:crosses val="autoZero"/>
        <c:auto val="1"/>
        <c:lblAlgn val="ctr"/>
        <c:lblOffset val="100"/>
        <c:noMultiLvlLbl val="0"/>
      </c:catAx>
      <c:valAx>
        <c:axId val="-10386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03868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171134139841713"/>
          <c:y val="0.91709924181942459"/>
          <c:w val="0.11831123480254624"/>
          <c:h val="5.5914904275136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15240</xdr:rowOff>
    </xdr:from>
    <xdr:to>
      <xdr:col>10</xdr:col>
      <xdr:colOff>15240</xdr:colOff>
      <xdr:row>22</xdr:row>
      <xdr:rowOff>137160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10</xdr:col>
      <xdr:colOff>30480</xdr:colOff>
      <xdr:row>23</xdr:row>
      <xdr:rowOff>0</xdr:rowOff>
    </xdr:to>
    <xdr:graphicFrame macro="">
      <xdr:nvGraphicFramePr>
        <xdr:cNvPr id="2" name="Graphique 1" title="Distance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khloufmeddad@hotmail.com" refreshedDate="45290.956693287037" createdVersion="5" refreshedVersion="5" minRefreshableVersion="3" recordCount="40">
  <cacheSource type="worksheet">
    <worksheetSource ref="A3:C43" sheet="Question 1"/>
  </cacheSource>
  <cacheFields count="3">
    <cacheField name="Students" numFmtId="0">
      <sharedItems containsSemiMixedTypes="0" containsString="0" containsNumber="1" containsInteger="1" minValue="135" maxValue="9567"/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n v="591"/>
    <x v="0"/>
    <x v="0"/>
  </r>
  <r>
    <n v="9567"/>
    <x v="1"/>
    <x v="1"/>
  </r>
  <r>
    <n v="542"/>
    <x v="2"/>
    <x v="2"/>
  </r>
  <r>
    <n v="346"/>
    <x v="2"/>
    <x v="3"/>
  </r>
  <r>
    <n v="849"/>
    <x v="0"/>
    <x v="4"/>
  </r>
  <r>
    <n v="552"/>
    <x v="2"/>
    <x v="5"/>
  </r>
  <r>
    <n v="173"/>
    <x v="0"/>
    <x v="3"/>
  </r>
  <r>
    <n v="1355"/>
    <x v="0"/>
    <x v="5"/>
  </r>
  <r>
    <n v="193"/>
    <x v="3"/>
    <x v="6"/>
  </r>
  <r>
    <n v="615"/>
    <x v="3"/>
    <x v="3"/>
  </r>
  <r>
    <n v="1579"/>
    <x v="3"/>
    <x v="1"/>
  </r>
  <r>
    <n v="547"/>
    <x v="1"/>
    <x v="2"/>
  </r>
  <r>
    <n v="1687"/>
    <x v="4"/>
    <x v="2"/>
  </r>
  <r>
    <n v="972"/>
    <x v="2"/>
    <x v="1"/>
  </r>
  <r>
    <n v="234"/>
    <x v="2"/>
    <x v="7"/>
  </r>
  <r>
    <n v="151"/>
    <x v="4"/>
    <x v="6"/>
  </r>
  <r>
    <n v="1793"/>
    <x v="1"/>
    <x v="4"/>
  </r>
  <r>
    <n v="315"/>
    <x v="4"/>
    <x v="4"/>
  </r>
  <r>
    <n v="618"/>
    <x v="1"/>
    <x v="5"/>
  </r>
  <r>
    <n v="246"/>
    <x v="1"/>
    <x v="0"/>
  </r>
  <r>
    <n v="784"/>
    <x v="1"/>
    <x v="6"/>
  </r>
  <r>
    <n v="316"/>
    <x v="3"/>
    <x v="2"/>
  </r>
  <r>
    <n v="3155"/>
    <x v="0"/>
    <x v="2"/>
  </r>
  <r>
    <n v="318"/>
    <x v="4"/>
    <x v="7"/>
  </r>
  <r>
    <n v="608"/>
    <x v="2"/>
    <x v="4"/>
  </r>
  <r>
    <n v="561"/>
    <x v="0"/>
    <x v="6"/>
  </r>
  <r>
    <n v="357"/>
    <x v="4"/>
    <x v="0"/>
  </r>
  <r>
    <n v="1688"/>
    <x v="3"/>
    <x v="4"/>
  </r>
  <r>
    <n v="972"/>
    <x v="2"/>
    <x v="6"/>
  </r>
  <r>
    <n v="568"/>
    <x v="1"/>
    <x v="7"/>
  </r>
  <r>
    <n v="632"/>
    <x v="3"/>
    <x v="7"/>
  </r>
  <r>
    <n v="551"/>
    <x v="4"/>
    <x v="5"/>
  </r>
  <r>
    <n v="948"/>
    <x v="1"/>
    <x v="3"/>
  </r>
  <r>
    <n v="1358"/>
    <x v="0"/>
    <x v="1"/>
  </r>
  <r>
    <n v="135"/>
    <x v="0"/>
    <x v="7"/>
  </r>
  <r>
    <n v="849"/>
    <x v="3"/>
    <x v="0"/>
  </r>
  <r>
    <n v="158"/>
    <x v="4"/>
    <x v="3"/>
  </r>
  <r>
    <n v="1889"/>
    <x v="3"/>
    <x v="5"/>
  </r>
  <r>
    <n v="651"/>
    <x v="4"/>
    <x v="1"/>
  </r>
  <r>
    <n v="65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2" cacheId="2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C9" firstHeaderRow="0" firstDataRow="1" firstDataCol="1"/>
  <pivotFields count="3">
    <pivotField dataField="1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2" fld="0" subtotal="average" baseField="1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3" cacheId="2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C12" firstHeaderRow="0" firstDataRow="1" firstDataCol="1"/>
  <pivotFields count="3">
    <pivotField dataField="1" showAll="0"/>
    <pivotField showAll="0"/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tudents" fld="0" baseField="0" baseItem="0"/>
    <dataField name="Moyenne de Students2" fld="0" subtotal="average" baseField="2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4" cacheId="2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G13" firstHeaderRow="1" firstDataRow="2" firstDataCol="1"/>
  <pivotFields count="3">
    <pivotField dataFiel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Students" fld="0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zoomScale="130" zoomScaleNormal="130" workbookViewId="0">
      <selection activeCell="G9" sqref="G9"/>
    </sheetView>
  </sheetViews>
  <sheetFormatPr baseColWidth="10" defaultRowHeight="14.4" x14ac:dyDescent="0.3"/>
  <sheetData>
    <row r="1" spans="1:3" x14ac:dyDescent="0.3">
      <c r="A1" s="18" t="s">
        <v>31</v>
      </c>
      <c r="B1" s="17"/>
      <c r="C1" s="17"/>
    </row>
    <row r="2" spans="1:3" x14ac:dyDescent="0.3">
      <c r="A2" s="17"/>
      <c r="B2" s="17"/>
      <c r="C2" s="17"/>
    </row>
    <row r="3" spans="1:3" x14ac:dyDescent="0.3">
      <c r="A3" s="19" t="s">
        <v>32</v>
      </c>
      <c r="B3" s="19" t="s">
        <v>30</v>
      </c>
      <c r="C3" s="19" t="s">
        <v>0</v>
      </c>
    </row>
    <row r="4" spans="1:3" x14ac:dyDescent="0.3">
      <c r="A4" s="20">
        <v>591</v>
      </c>
      <c r="B4" s="21" t="s">
        <v>1</v>
      </c>
      <c r="C4" s="21" t="s">
        <v>33</v>
      </c>
    </row>
    <row r="5" spans="1:3" x14ac:dyDescent="0.3">
      <c r="A5" s="22">
        <v>9567</v>
      </c>
      <c r="B5" s="23" t="s">
        <v>10</v>
      </c>
      <c r="C5" s="23" t="s">
        <v>2</v>
      </c>
    </row>
    <row r="6" spans="1:3" x14ac:dyDescent="0.3">
      <c r="A6" s="20">
        <v>542</v>
      </c>
      <c r="B6" s="21" t="s">
        <v>3</v>
      </c>
      <c r="C6" s="21" t="s">
        <v>4</v>
      </c>
    </row>
    <row r="7" spans="1:3" x14ac:dyDescent="0.3">
      <c r="A7" s="22">
        <v>346</v>
      </c>
      <c r="B7" s="23" t="s">
        <v>3</v>
      </c>
      <c r="C7" s="23" t="s">
        <v>5</v>
      </c>
    </row>
    <row r="8" spans="1:3" x14ac:dyDescent="0.3">
      <c r="A8" s="20">
        <v>849</v>
      </c>
      <c r="B8" s="21" t="s">
        <v>1</v>
      </c>
      <c r="C8" s="21" t="s">
        <v>6</v>
      </c>
    </row>
    <row r="9" spans="1:3" x14ac:dyDescent="0.3">
      <c r="A9" s="22">
        <v>552</v>
      </c>
      <c r="B9" s="23" t="s">
        <v>3</v>
      </c>
      <c r="C9" s="23" t="s">
        <v>7</v>
      </c>
    </row>
    <row r="10" spans="1:3" x14ac:dyDescent="0.3">
      <c r="A10" s="24">
        <v>173</v>
      </c>
      <c r="B10" s="21" t="s">
        <v>1</v>
      </c>
      <c r="C10" s="24" t="s">
        <v>5</v>
      </c>
    </row>
    <row r="11" spans="1:3" x14ac:dyDescent="0.3">
      <c r="A11" s="22">
        <v>1355</v>
      </c>
      <c r="B11" s="23" t="s">
        <v>1</v>
      </c>
      <c r="C11" s="25" t="s">
        <v>7</v>
      </c>
    </row>
    <row r="12" spans="1:3" x14ac:dyDescent="0.3">
      <c r="A12" s="20">
        <v>193</v>
      </c>
      <c r="B12" s="21" t="s">
        <v>8</v>
      </c>
      <c r="C12" s="21" t="s">
        <v>9</v>
      </c>
    </row>
    <row r="13" spans="1:3" x14ac:dyDescent="0.3">
      <c r="A13" s="25">
        <v>615</v>
      </c>
      <c r="B13" s="23" t="s">
        <v>8</v>
      </c>
      <c r="C13" s="25" t="s">
        <v>5</v>
      </c>
    </row>
    <row r="14" spans="1:3" x14ac:dyDescent="0.3">
      <c r="A14" s="20">
        <v>1579</v>
      </c>
      <c r="B14" s="21" t="s">
        <v>8</v>
      </c>
      <c r="C14" s="21" t="s">
        <v>2</v>
      </c>
    </row>
    <row r="15" spans="1:3" x14ac:dyDescent="0.3">
      <c r="A15" s="22">
        <v>547</v>
      </c>
      <c r="B15" s="23" t="s">
        <v>10</v>
      </c>
      <c r="C15" s="25" t="s">
        <v>4</v>
      </c>
    </row>
    <row r="16" spans="1:3" x14ac:dyDescent="0.3">
      <c r="A16" s="20">
        <v>1687</v>
      </c>
      <c r="B16" s="21" t="s">
        <v>11</v>
      </c>
      <c r="C16" s="24" t="s">
        <v>4</v>
      </c>
    </row>
    <row r="17" spans="1:3" x14ac:dyDescent="0.3">
      <c r="A17" s="23">
        <v>972</v>
      </c>
      <c r="B17" s="23" t="s">
        <v>3</v>
      </c>
      <c r="C17" s="25" t="s">
        <v>2</v>
      </c>
    </row>
    <row r="18" spans="1:3" x14ac:dyDescent="0.3">
      <c r="A18" s="20">
        <v>234</v>
      </c>
      <c r="B18" s="21" t="s">
        <v>3</v>
      </c>
      <c r="C18" s="24" t="s">
        <v>12</v>
      </c>
    </row>
    <row r="19" spans="1:3" x14ac:dyDescent="0.3">
      <c r="A19" s="25">
        <v>151</v>
      </c>
      <c r="B19" s="25" t="s">
        <v>11</v>
      </c>
      <c r="C19" s="23" t="s">
        <v>9</v>
      </c>
    </row>
    <row r="20" spans="1:3" x14ac:dyDescent="0.3">
      <c r="A20" s="20">
        <v>1793</v>
      </c>
      <c r="B20" s="21" t="s">
        <v>10</v>
      </c>
      <c r="C20" s="21" t="s">
        <v>6</v>
      </c>
    </row>
    <row r="21" spans="1:3" x14ac:dyDescent="0.3">
      <c r="A21" s="22">
        <v>315</v>
      </c>
      <c r="B21" s="23" t="s">
        <v>11</v>
      </c>
      <c r="C21" s="23" t="s">
        <v>6</v>
      </c>
    </row>
    <row r="22" spans="1:3" x14ac:dyDescent="0.3">
      <c r="A22" s="20">
        <v>618</v>
      </c>
      <c r="B22" s="21" t="s">
        <v>10</v>
      </c>
      <c r="C22" s="21" t="s">
        <v>7</v>
      </c>
    </row>
    <row r="23" spans="1:3" x14ac:dyDescent="0.3">
      <c r="A23" s="22">
        <v>246</v>
      </c>
      <c r="B23" s="23" t="s">
        <v>10</v>
      </c>
      <c r="C23" s="23" t="s">
        <v>33</v>
      </c>
    </row>
    <row r="24" spans="1:3" x14ac:dyDescent="0.3">
      <c r="A24" s="20">
        <v>784</v>
      </c>
      <c r="B24" s="21" t="s">
        <v>10</v>
      </c>
      <c r="C24" s="21" t="s">
        <v>9</v>
      </c>
    </row>
    <row r="25" spans="1:3" x14ac:dyDescent="0.3">
      <c r="A25" s="22">
        <v>316</v>
      </c>
      <c r="B25" s="23" t="s">
        <v>8</v>
      </c>
      <c r="C25" s="23" t="s">
        <v>4</v>
      </c>
    </row>
    <row r="26" spans="1:3" x14ac:dyDescent="0.3">
      <c r="A26" s="20">
        <v>3155</v>
      </c>
      <c r="B26" s="21" t="s">
        <v>1</v>
      </c>
      <c r="C26" s="21" t="s">
        <v>4</v>
      </c>
    </row>
    <row r="27" spans="1:3" x14ac:dyDescent="0.3">
      <c r="A27" s="22">
        <v>318</v>
      </c>
      <c r="B27" s="23" t="s">
        <v>11</v>
      </c>
      <c r="C27" s="23" t="s">
        <v>12</v>
      </c>
    </row>
    <row r="28" spans="1:3" x14ac:dyDescent="0.3">
      <c r="A28" s="20">
        <v>608</v>
      </c>
      <c r="B28" s="21" t="s">
        <v>3</v>
      </c>
      <c r="C28" s="21" t="s">
        <v>6</v>
      </c>
    </row>
    <row r="29" spans="1:3" x14ac:dyDescent="0.3">
      <c r="A29" s="22">
        <v>561</v>
      </c>
      <c r="B29" s="23" t="s">
        <v>1</v>
      </c>
      <c r="C29" s="23" t="s">
        <v>9</v>
      </c>
    </row>
    <row r="30" spans="1:3" x14ac:dyDescent="0.3">
      <c r="A30" s="20">
        <v>357</v>
      </c>
      <c r="B30" s="21" t="s">
        <v>11</v>
      </c>
      <c r="C30" s="21" t="s">
        <v>33</v>
      </c>
    </row>
    <row r="31" spans="1:3" x14ac:dyDescent="0.3">
      <c r="A31" s="22">
        <v>1688</v>
      </c>
      <c r="B31" s="23" t="s">
        <v>8</v>
      </c>
      <c r="C31" s="23" t="s">
        <v>6</v>
      </c>
    </row>
    <row r="32" spans="1:3" x14ac:dyDescent="0.3">
      <c r="A32" s="20">
        <v>972</v>
      </c>
      <c r="B32" s="21" t="s">
        <v>3</v>
      </c>
      <c r="C32" s="21" t="s">
        <v>9</v>
      </c>
    </row>
    <row r="33" spans="1:3" x14ac:dyDescent="0.3">
      <c r="A33" s="22">
        <v>568</v>
      </c>
      <c r="B33" s="23" t="s">
        <v>10</v>
      </c>
      <c r="C33" s="23" t="s">
        <v>12</v>
      </c>
    </row>
    <row r="34" spans="1:3" x14ac:dyDescent="0.3">
      <c r="A34" s="20">
        <v>632</v>
      </c>
      <c r="B34" s="21" t="s">
        <v>8</v>
      </c>
      <c r="C34" s="21" t="s">
        <v>12</v>
      </c>
    </row>
    <row r="35" spans="1:3" x14ac:dyDescent="0.3">
      <c r="A35" s="22">
        <v>551</v>
      </c>
      <c r="B35" s="23" t="s">
        <v>11</v>
      </c>
      <c r="C35" s="23" t="s">
        <v>7</v>
      </c>
    </row>
    <row r="36" spans="1:3" x14ac:dyDescent="0.3">
      <c r="A36" s="20">
        <v>948</v>
      </c>
      <c r="B36" s="21" t="s">
        <v>10</v>
      </c>
      <c r="C36" s="21" t="s">
        <v>5</v>
      </c>
    </row>
    <row r="37" spans="1:3" x14ac:dyDescent="0.3">
      <c r="A37" s="22">
        <v>1358</v>
      </c>
      <c r="B37" s="23" t="s">
        <v>1</v>
      </c>
      <c r="C37" s="23" t="s">
        <v>2</v>
      </c>
    </row>
    <row r="38" spans="1:3" x14ac:dyDescent="0.3">
      <c r="A38" s="20">
        <v>135</v>
      </c>
      <c r="B38" s="21" t="s">
        <v>1</v>
      </c>
      <c r="C38" s="21" t="s">
        <v>12</v>
      </c>
    </row>
    <row r="39" spans="1:3" x14ac:dyDescent="0.3">
      <c r="A39" s="22">
        <v>849</v>
      </c>
      <c r="B39" s="23" t="s">
        <v>8</v>
      </c>
      <c r="C39" s="23" t="s">
        <v>33</v>
      </c>
    </row>
    <row r="40" spans="1:3" x14ac:dyDescent="0.3">
      <c r="A40" s="20">
        <v>158</v>
      </c>
      <c r="B40" s="21" t="s">
        <v>11</v>
      </c>
      <c r="C40" s="21" t="s">
        <v>5</v>
      </c>
    </row>
    <row r="41" spans="1:3" x14ac:dyDescent="0.3">
      <c r="A41" s="22">
        <v>1889</v>
      </c>
      <c r="B41" s="23" t="s">
        <v>8</v>
      </c>
      <c r="C41" s="23" t="s">
        <v>7</v>
      </c>
    </row>
    <row r="42" spans="1:3" x14ac:dyDescent="0.3">
      <c r="A42" s="20">
        <v>651</v>
      </c>
      <c r="B42" s="21" t="s">
        <v>11</v>
      </c>
      <c r="C42" s="21" t="s">
        <v>2</v>
      </c>
    </row>
    <row r="43" spans="1:3" x14ac:dyDescent="0.3">
      <c r="A43" s="22">
        <v>651</v>
      </c>
      <c r="B43" s="23" t="s">
        <v>3</v>
      </c>
      <c r="C43" s="23" t="s">
        <v>33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26" sqref="A26"/>
    </sheetView>
  </sheetViews>
  <sheetFormatPr baseColWidth="10" defaultRowHeight="14.4" x14ac:dyDescent="0.3"/>
  <cols>
    <col min="1" max="1" width="37.5546875" customWidth="1"/>
    <col min="2" max="2" width="38.77734375" customWidth="1"/>
    <col min="3" max="3" width="32.33203125" customWidth="1"/>
  </cols>
  <sheetData>
    <row r="3" spans="1:3" ht="23.4" x14ac:dyDescent="0.45">
      <c r="A3" s="13" t="s">
        <v>13</v>
      </c>
      <c r="B3" s="14" t="s">
        <v>34</v>
      </c>
      <c r="C3" s="14" t="s">
        <v>35</v>
      </c>
    </row>
    <row r="4" spans="1:3" ht="23.4" x14ac:dyDescent="0.45">
      <c r="A4" s="15" t="s">
        <v>1</v>
      </c>
      <c r="B4" s="16">
        <v>8177</v>
      </c>
      <c r="C4" s="16">
        <v>1022.125</v>
      </c>
    </row>
    <row r="5" spans="1:3" ht="23.4" x14ac:dyDescent="0.45">
      <c r="A5" s="15" t="s">
        <v>3</v>
      </c>
      <c r="B5" s="16">
        <v>4877</v>
      </c>
      <c r="C5" s="16">
        <v>609.625</v>
      </c>
    </row>
    <row r="6" spans="1:3" ht="23.4" x14ac:dyDescent="0.45">
      <c r="A6" s="15" t="s">
        <v>8</v>
      </c>
      <c r="B6" s="16">
        <v>7761</v>
      </c>
      <c r="C6" s="16">
        <v>970.125</v>
      </c>
    </row>
    <row r="7" spans="1:3" ht="23.4" x14ac:dyDescent="0.45">
      <c r="A7" s="15" t="s">
        <v>10</v>
      </c>
      <c r="B7" s="16">
        <v>15071</v>
      </c>
      <c r="C7" s="16">
        <v>1883.875</v>
      </c>
    </row>
    <row r="8" spans="1:3" ht="23.4" x14ac:dyDescent="0.45">
      <c r="A8" s="15" t="s">
        <v>11</v>
      </c>
      <c r="B8" s="16">
        <v>4188</v>
      </c>
      <c r="C8" s="16">
        <v>523.5</v>
      </c>
    </row>
    <row r="9" spans="1:3" ht="23.4" x14ac:dyDescent="0.45">
      <c r="A9" s="15" t="s">
        <v>14</v>
      </c>
      <c r="B9" s="16">
        <v>40074</v>
      </c>
      <c r="C9" s="16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workbookViewId="0">
      <selection activeCell="F16" sqref="F16"/>
    </sheetView>
  </sheetViews>
  <sheetFormatPr baseColWidth="10" defaultRowHeight="14.4" x14ac:dyDescent="0.3"/>
  <cols>
    <col min="1" max="1" width="37.6640625" customWidth="1"/>
    <col min="2" max="2" width="38.77734375" customWidth="1"/>
    <col min="3" max="3" width="32.33203125" customWidth="1"/>
  </cols>
  <sheetData>
    <row r="3" spans="1:3" ht="23.4" x14ac:dyDescent="0.45">
      <c r="A3" s="13" t="s">
        <v>13</v>
      </c>
      <c r="B3" s="14" t="s">
        <v>34</v>
      </c>
      <c r="C3" s="14" t="s">
        <v>35</v>
      </c>
    </row>
    <row r="4" spans="1:3" ht="23.4" x14ac:dyDescent="0.45">
      <c r="A4" s="15" t="s">
        <v>2</v>
      </c>
      <c r="B4" s="16">
        <v>14127</v>
      </c>
      <c r="C4" s="16">
        <v>2825.4</v>
      </c>
    </row>
    <row r="5" spans="1:3" ht="23.4" x14ac:dyDescent="0.45">
      <c r="A5" s="15" t="s">
        <v>6</v>
      </c>
      <c r="B5" s="16">
        <v>5253</v>
      </c>
      <c r="C5" s="16">
        <v>1050.5999999999999</v>
      </c>
    </row>
    <row r="6" spans="1:3" ht="23.4" x14ac:dyDescent="0.45">
      <c r="A6" s="15" t="s">
        <v>7</v>
      </c>
      <c r="B6" s="16">
        <v>4965</v>
      </c>
      <c r="C6" s="16">
        <v>993</v>
      </c>
    </row>
    <row r="7" spans="1:3" ht="23.4" x14ac:dyDescent="0.45">
      <c r="A7" s="15" t="s">
        <v>4</v>
      </c>
      <c r="B7" s="16">
        <v>6247</v>
      </c>
      <c r="C7" s="16">
        <v>1249.4000000000001</v>
      </c>
    </row>
    <row r="8" spans="1:3" ht="23.4" x14ac:dyDescent="0.45">
      <c r="A8" s="15" t="s">
        <v>5</v>
      </c>
      <c r="B8" s="16">
        <v>2240</v>
      </c>
      <c r="C8" s="16">
        <v>448</v>
      </c>
    </row>
    <row r="9" spans="1:3" ht="23.4" x14ac:dyDescent="0.45">
      <c r="A9" s="15" t="s">
        <v>12</v>
      </c>
      <c r="B9" s="16">
        <v>1887</v>
      </c>
      <c r="C9" s="16">
        <v>377.4</v>
      </c>
    </row>
    <row r="10" spans="1:3" ht="23.4" x14ac:dyDescent="0.45">
      <c r="A10" s="15" t="s">
        <v>9</v>
      </c>
      <c r="B10" s="16">
        <v>2661</v>
      </c>
      <c r="C10" s="16">
        <v>532.20000000000005</v>
      </c>
    </row>
    <row r="11" spans="1:3" ht="23.4" x14ac:dyDescent="0.45">
      <c r="A11" s="15" t="s">
        <v>33</v>
      </c>
      <c r="B11" s="16">
        <v>2694</v>
      </c>
      <c r="C11" s="16">
        <v>538.79999999999995</v>
      </c>
    </row>
    <row r="12" spans="1:3" ht="23.4" x14ac:dyDescent="0.45">
      <c r="A12" s="15" t="s">
        <v>14</v>
      </c>
      <c r="B12" s="16">
        <v>40074</v>
      </c>
      <c r="C12" s="16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workbookViewId="0">
      <selection activeCell="A24" sqref="A24"/>
    </sheetView>
  </sheetViews>
  <sheetFormatPr baseColWidth="10" defaultRowHeight="14.4" x14ac:dyDescent="0.3"/>
  <cols>
    <col min="1" max="2" width="42.109375" customWidth="1"/>
    <col min="3" max="3" width="22" customWidth="1"/>
    <col min="4" max="4" width="19.33203125" customWidth="1"/>
    <col min="5" max="5" width="17.6640625" customWidth="1"/>
    <col min="6" max="6" width="22.44140625" customWidth="1"/>
    <col min="7" max="7" width="23.5546875" customWidth="1"/>
  </cols>
  <sheetData>
    <row r="3" spans="1:7" ht="23.4" x14ac:dyDescent="0.45">
      <c r="A3" s="13" t="s">
        <v>34</v>
      </c>
      <c r="B3" s="13" t="s">
        <v>15</v>
      </c>
      <c r="C3" s="14"/>
      <c r="D3" s="14"/>
      <c r="E3" s="14"/>
      <c r="F3" s="14"/>
      <c r="G3" s="14"/>
    </row>
    <row r="4" spans="1:7" ht="23.4" x14ac:dyDescent="0.45">
      <c r="A4" s="13" t="s">
        <v>13</v>
      </c>
      <c r="B4" s="14" t="s">
        <v>1</v>
      </c>
      <c r="C4" s="14" t="s">
        <v>3</v>
      </c>
      <c r="D4" s="14" t="s">
        <v>8</v>
      </c>
      <c r="E4" s="14" t="s">
        <v>10</v>
      </c>
      <c r="F4" s="14" t="s">
        <v>11</v>
      </c>
      <c r="G4" s="14" t="s">
        <v>14</v>
      </c>
    </row>
    <row r="5" spans="1:7" ht="23.4" x14ac:dyDescent="0.45">
      <c r="A5" s="15" t="s">
        <v>2</v>
      </c>
      <c r="B5" s="16">
        <v>1358</v>
      </c>
      <c r="C5" s="16">
        <v>972</v>
      </c>
      <c r="D5" s="16">
        <v>1579</v>
      </c>
      <c r="E5" s="16">
        <v>9567</v>
      </c>
      <c r="F5" s="16">
        <v>651</v>
      </c>
      <c r="G5" s="16">
        <v>14127</v>
      </c>
    </row>
    <row r="6" spans="1:7" ht="23.4" x14ac:dyDescent="0.45">
      <c r="A6" s="15" t="s">
        <v>6</v>
      </c>
      <c r="B6" s="16">
        <v>849</v>
      </c>
      <c r="C6" s="16">
        <v>608</v>
      </c>
      <c r="D6" s="16">
        <v>1688</v>
      </c>
      <c r="E6" s="16">
        <v>1793</v>
      </c>
      <c r="F6" s="16">
        <v>315</v>
      </c>
      <c r="G6" s="16">
        <v>5253</v>
      </c>
    </row>
    <row r="7" spans="1:7" ht="23.4" x14ac:dyDescent="0.45">
      <c r="A7" s="15" t="s">
        <v>7</v>
      </c>
      <c r="B7" s="16">
        <v>1355</v>
      </c>
      <c r="C7" s="16">
        <v>552</v>
      </c>
      <c r="D7" s="16">
        <v>1889</v>
      </c>
      <c r="E7" s="16">
        <v>618</v>
      </c>
      <c r="F7" s="16">
        <v>551</v>
      </c>
      <c r="G7" s="16">
        <v>4965</v>
      </c>
    </row>
    <row r="8" spans="1:7" ht="23.4" x14ac:dyDescent="0.45">
      <c r="A8" s="15" t="s">
        <v>4</v>
      </c>
      <c r="B8" s="16">
        <v>3155</v>
      </c>
      <c r="C8" s="16">
        <v>542</v>
      </c>
      <c r="D8" s="16">
        <v>316</v>
      </c>
      <c r="E8" s="16">
        <v>547</v>
      </c>
      <c r="F8" s="16">
        <v>1687</v>
      </c>
      <c r="G8" s="16">
        <v>6247</v>
      </c>
    </row>
    <row r="9" spans="1:7" ht="23.4" x14ac:dyDescent="0.45">
      <c r="A9" s="15" t="s">
        <v>5</v>
      </c>
      <c r="B9" s="16">
        <v>173</v>
      </c>
      <c r="C9" s="16">
        <v>346</v>
      </c>
      <c r="D9" s="16">
        <v>615</v>
      </c>
      <c r="E9" s="16">
        <v>948</v>
      </c>
      <c r="F9" s="16">
        <v>158</v>
      </c>
      <c r="G9" s="16">
        <v>2240</v>
      </c>
    </row>
    <row r="10" spans="1:7" ht="23.4" x14ac:dyDescent="0.45">
      <c r="A10" s="15" t="s">
        <v>12</v>
      </c>
      <c r="B10" s="16">
        <v>135</v>
      </c>
      <c r="C10" s="16">
        <v>234</v>
      </c>
      <c r="D10" s="16">
        <v>632</v>
      </c>
      <c r="E10" s="16">
        <v>568</v>
      </c>
      <c r="F10" s="16">
        <v>318</v>
      </c>
      <c r="G10" s="16">
        <v>1887</v>
      </c>
    </row>
    <row r="11" spans="1:7" ht="23.4" x14ac:dyDescent="0.45">
      <c r="A11" s="15" t="s">
        <v>9</v>
      </c>
      <c r="B11" s="16">
        <v>561</v>
      </c>
      <c r="C11" s="16">
        <v>972</v>
      </c>
      <c r="D11" s="16">
        <v>193</v>
      </c>
      <c r="E11" s="16">
        <v>784</v>
      </c>
      <c r="F11" s="16">
        <v>151</v>
      </c>
      <c r="G11" s="16">
        <v>2661</v>
      </c>
    </row>
    <row r="12" spans="1:7" ht="23.4" x14ac:dyDescent="0.45">
      <c r="A12" s="15" t="s">
        <v>33</v>
      </c>
      <c r="B12" s="16">
        <v>591</v>
      </c>
      <c r="C12" s="16">
        <v>651</v>
      </c>
      <c r="D12" s="16">
        <v>849</v>
      </c>
      <c r="E12" s="16">
        <v>246</v>
      </c>
      <c r="F12" s="16">
        <v>357</v>
      </c>
      <c r="G12" s="16">
        <v>2694</v>
      </c>
    </row>
    <row r="13" spans="1:7" ht="23.4" x14ac:dyDescent="0.45">
      <c r="A13" s="15" t="s">
        <v>14</v>
      </c>
      <c r="B13" s="16">
        <v>8177</v>
      </c>
      <c r="C13" s="16">
        <v>4877</v>
      </c>
      <c r="D13" s="16">
        <v>7761</v>
      </c>
      <c r="E13" s="16">
        <v>15071</v>
      </c>
      <c r="F13" s="16">
        <v>4188</v>
      </c>
      <c r="G13" s="16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K14" sqref="K14"/>
    </sheetView>
  </sheetViews>
  <sheetFormatPr baseColWidth="10" defaultRowHeight="14.4" x14ac:dyDescent="0.3"/>
  <cols>
    <col min="1" max="1" width="11.6640625" bestFit="1" customWidth="1"/>
    <col min="2" max="2" width="14.33203125" bestFit="1" customWidth="1"/>
    <col min="3" max="3" width="12.44140625" customWidth="1"/>
    <col min="4" max="4" width="18.109375" customWidth="1"/>
    <col min="5" max="5" width="13.77734375" customWidth="1"/>
    <col min="6" max="6" width="14.6640625" customWidth="1"/>
    <col min="7" max="7" width="15.6640625" customWidth="1"/>
    <col min="11" max="11" width="13.109375" bestFit="1" customWidth="1"/>
  </cols>
  <sheetData>
    <row r="1" spans="1:14" ht="18.600000000000001" customHeight="1" thickBot="1" x14ac:dyDescent="0.35">
      <c r="A1" s="26" t="s">
        <v>16</v>
      </c>
      <c r="B1" s="26" t="s">
        <v>17</v>
      </c>
      <c r="C1" s="26" t="s">
        <v>18</v>
      </c>
      <c r="D1" s="26" t="s">
        <v>19</v>
      </c>
      <c r="E1" s="26" t="s">
        <v>20</v>
      </c>
      <c r="F1" s="26" t="s">
        <v>21</v>
      </c>
      <c r="G1" s="26" t="s">
        <v>22</v>
      </c>
    </row>
    <row r="2" spans="1:14" ht="16.2" thickBot="1" x14ac:dyDescent="0.35">
      <c r="A2" s="4">
        <v>1</v>
      </c>
      <c r="B2" s="5">
        <v>120</v>
      </c>
      <c r="C2" s="4">
        <v>3</v>
      </c>
      <c r="D2" s="11">
        <f>B2*C2</f>
        <v>360</v>
      </c>
      <c r="E2" s="6">
        <v>0.05</v>
      </c>
      <c r="F2" s="7">
        <f>E2*D2</f>
        <v>18</v>
      </c>
      <c r="G2" s="7">
        <v>342</v>
      </c>
    </row>
    <row r="3" spans="1:14" ht="16.2" thickBot="1" x14ac:dyDescent="0.35">
      <c r="A3" s="27">
        <v>2</v>
      </c>
      <c r="B3" s="28">
        <v>56</v>
      </c>
      <c r="C3" s="27">
        <v>5</v>
      </c>
      <c r="D3" s="29">
        <f t="shared" ref="D3:D13" si="0">B3*C3</f>
        <v>280</v>
      </c>
      <c r="E3" s="30">
        <v>0.05</v>
      </c>
      <c r="F3" s="31">
        <f t="shared" ref="F3:F6" si="1">E3*D3</f>
        <v>14</v>
      </c>
      <c r="G3" s="31">
        <v>266</v>
      </c>
      <c r="K3" s="2"/>
    </row>
    <row r="4" spans="1:14" ht="16.2" thickBot="1" x14ac:dyDescent="0.35">
      <c r="A4" s="4">
        <v>3</v>
      </c>
      <c r="B4" s="5">
        <v>70</v>
      </c>
      <c r="C4" s="4">
        <v>2</v>
      </c>
      <c r="D4" s="11">
        <f t="shared" si="0"/>
        <v>140</v>
      </c>
      <c r="E4" s="6">
        <v>0.05</v>
      </c>
      <c r="F4" s="7">
        <f t="shared" si="1"/>
        <v>7</v>
      </c>
      <c r="G4" s="7">
        <v>133</v>
      </c>
      <c r="J4" s="10"/>
      <c r="K4" s="2"/>
    </row>
    <row r="5" spans="1:14" ht="16.2" thickBot="1" x14ac:dyDescent="0.35">
      <c r="A5" s="27">
        <v>4</v>
      </c>
      <c r="B5" s="28">
        <v>430</v>
      </c>
      <c r="C5" s="27">
        <v>7</v>
      </c>
      <c r="D5" s="29">
        <f t="shared" si="0"/>
        <v>3010</v>
      </c>
      <c r="E5" s="30">
        <v>0.1</v>
      </c>
      <c r="F5" s="31">
        <f t="shared" si="1"/>
        <v>301</v>
      </c>
      <c r="G5" s="31">
        <v>2709</v>
      </c>
      <c r="K5" s="2"/>
    </row>
    <row r="6" spans="1:14" ht="16.2" thickBot="1" x14ac:dyDescent="0.35">
      <c r="A6" s="4">
        <v>5</v>
      </c>
      <c r="B6" s="5">
        <v>230</v>
      </c>
      <c r="C6" s="4">
        <v>23</v>
      </c>
      <c r="D6" s="11">
        <f t="shared" si="0"/>
        <v>5290</v>
      </c>
      <c r="E6" s="6">
        <v>0.1</v>
      </c>
      <c r="F6" s="7">
        <f t="shared" si="1"/>
        <v>529</v>
      </c>
      <c r="G6" s="7">
        <v>4761</v>
      </c>
      <c r="K6" s="2"/>
    </row>
    <row r="7" spans="1:14" ht="16.2" thickBot="1" x14ac:dyDescent="0.35">
      <c r="A7" s="27">
        <v>6</v>
      </c>
      <c r="B7" s="28">
        <v>10</v>
      </c>
      <c r="C7" s="27">
        <v>2</v>
      </c>
      <c r="D7" s="29">
        <f t="shared" si="0"/>
        <v>20</v>
      </c>
      <c r="E7" s="30">
        <v>0</v>
      </c>
      <c r="F7" s="31">
        <f>E7*D7</f>
        <v>0</v>
      </c>
      <c r="G7" s="31">
        <v>20</v>
      </c>
      <c r="H7" s="2"/>
      <c r="K7" s="2"/>
      <c r="N7" s="3"/>
    </row>
    <row r="8" spans="1:14" ht="16.2" thickBot="1" x14ac:dyDescent="0.35">
      <c r="A8" s="4">
        <v>7</v>
      </c>
      <c r="B8" s="5">
        <v>5</v>
      </c>
      <c r="C8" s="4">
        <v>8</v>
      </c>
      <c r="D8" s="11">
        <f t="shared" si="0"/>
        <v>40</v>
      </c>
      <c r="E8" s="6">
        <v>0</v>
      </c>
      <c r="F8" s="7">
        <f>E8*D8</f>
        <v>0</v>
      </c>
      <c r="G8" s="7">
        <v>40</v>
      </c>
      <c r="N8" s="3"/>
    </row>
    <row r="9" spans="1:14" ht="16.2" thickBot="1" x14ac:dyDescent="0.35">
      <c r="A9" s="27">
        <v>8</v>
      </c>
      <c r="B9" s="28">
        <v>5040</v>
      </c>
      <c r="C9" s="27">
        <v>1</v>
      </c>
      <c r="D9" s="29">
        <f t="shared" si="0"/>
        <v>5040</v>
      </c>
      <c r="E9" s="30">
        <v>0.1</v>
      </c>
      <c r="F9" s="31">
        <f t="shared" ref="F9:F15" si="2">E9*D9</f>
        <v>504</v>
      </c>
      <c r="G9" s="31">
        <v>4536</v>
      </c>
      <c r="N9" s="3"/>
    </row>
    <row r="10" spans="1:14" ht="16.2" thickBot="1" x14ac:dyDescent="0.35">
      <c r="A10" s="4">
        <v>9</v>
      </c>
      <c r="B10" s="5">
        <v>1200</v>
      </c>
      <c r="C10" s="4">
        <v>3</v>
      </c>
      <c r="D10" s="11">
        <f t="shared" si="0"/>
        <v>3600</v>
      </c>
      <c r="E10" s="6">
        <v>0.1</v>
      </c>
      <c r="F10" s="7">
        <f t="shared" si="2"/>
        <v>360</v>
      </c>
      <c r="G10" s="7">
        <v>3240</v>
      </c>
      <c r="K10" s="2"/>
      <c r="N10" s="3"/>
    </row>
    <row r="11" spans="1:14" ht="16.2" thickBot="1" x14ac:dyDescent="0.35">
      <c r="A11" s="27">
        <v>10</v>
      </c>
      <c r="B11" s="28">
        <v>480</v>
      </c>
      <c r="C11" s="27">
        <v>4</v>
      </c>
      <c r="D11" s="29">
        <f t="shared" si="0"/>
        <v>1920</v>
      </c>
      <c r="E11" s="30">
        <v>0.1</v>
      </c>
      <c r="F11" s="31">
        <f t="shared" si="2"/>
        <v>192</v>
      </c>
      <c r="G11" s="31">
        <v>1728</v>
      </c>
      <c r="K11" s="2"/>
      <c r="N11" s="3"/>
    </row>
    <row r="12" spans="1:14" ht="16.2" thickBot="1" x14ac:dyDescent="0.35">
      <c r="A12" s="4">
        <v>11</v>
      </c>
      <c r="B12" s="5">
        <v>33</v>
      </c>
      <c r="C12" s="4">
        <v>5</v>
      </c>
      <c r="D12" s="11">
        <f t="shared" si="0"/>
        <v>165</v>
      </c>
      <c r="E12" s="6">
        <v>0.05</v>
      </c>
      <c r="F12" s="7">
        <f t="shared" si="2"/>
        <v>8.25</v>
      </c>
      <c r="G12" s="7">
        <v>156.75</v>
      </c>
      <c r="K12" s="3"/>
      <c r="N12" s="3"/>
    </row>
    <row r="13" spans="1:14" ht="16.2" thickBot="1" x14ac:dyDescent="0.35">
      <c r="A13" s="27">
        <v>12</v>
      </c>
      <c r="B13" s="28">
        <v>1200</v>
      </c>
      <c r="C13" s="27">
        <v>2</v>
      </c>
      <c r="D13" s="29">
        <f t="shared" si="0"/>
        <v>2400</v>
      </c>
      <c r="E13" s="30">
        <v>0.1</v>
      </c>
      <c r="F13" s="31">
        <f t="shared" si="2"/>
        <v>240</v>
      </c>
      <c r="G13" s="31">
        <v>2160</v>
      </c>
      <c r="K13" s="1"/>
    </row>
    <row r="14" spans="1:14" ht="16.2" thickBot="1" x14ac:dyDescent="0.35">
      <c r="A14" s="4">
        <v>13</v>
      </c>
      <c r="B14" s="5">
        <v>15</v>
      </c>
      <c r="C14" s="4">
        <v>10</v>
      </c>
      <c r="D14" s="11">
        <f>C14*B14</f>
        <v>150</v>
      </c>
      <c r="E14" s="6">
        <v>0.05</v>
      </c>
      <c r="F14" s="7">
        <f t="shared" si="2"/>
        <v>7.5</v>
      </c>
      <c r="G14" s="7">
        <v>142.5</v>
      </c>
    </row>
    <row r="15" spans="1:14" ht="16.2" thickBot="1" x14ac:dyDescent="0.35">
      <c r="A15" s="27">
        <v>14</v>
      </c>
      <c r="B15" s="28">
        <v>24</v>
      </c>
      <c r="C15" s="27">
        <v>5</v>
      </c>
      <c r="D15" s="29">
        <f>B14*C15</f>
        <v>75</v>
      </c>
      <c r="E15" s="30">
        <v>0.05</v>
      </c>
      <c r="F15" s="31">
        <f t="shared" si="2"/>
        <v>3.75</v>
      </c>
      <c r="G15" s="31">
        <v>114</v>
      </c>
    </row>
    <row r="16" spans="1:14" ht="15" thickBot="1" x14ac:dyDescent="0.35"/>
    <row r="17" spans="4:7" ht="18.600000000000001" thickBot="1" x14ac:dyDescent="0.35">
      <c r="D17" s="32" t="s">
        <v>23</v>
      </c>
      <c r="E17" s="33"/>
      <c r="F17" s="35">
        <f>SUM(G2:G15)</f>
        <v>20348.25</v>
      </c>
      <c r="G17" s="36"/>
    </row>
    <row r="18" spans="4:7" ht="18.600000000000001" thickBot="1" x14ac:dyDescent="0.35">
      <c r="D18" s="32" t="s">
        <v>26</v>
      </c>
      <c r="E18" s="33"/>
      <c r="F18" s="34">
        <v>0.19</v>
      </c>
      <c r="G18" s="39"/>
    </row>
    <row r="19" spans="4:7" ht="18.600000000000001" thickBot="1" x14ac:dyDescent="0.35">
      <c r="D19" s="32" t="s">
        <v>25</v>
      </c>
      <c r="E19" s="33"/>
      <c r="F19" s="37">
        <v>3866.17</v>
      </c>
      <c r="G19" s="38"/>
    </row>
    <row r="20" spans="4:7" ht="24" thickBot="1" x14ac:dyDescent="0.35">
      <c r="D20" s="32" t="s">
        <v>24</v>
      </c>
      <c r="E20" s="33"/>
      <c r="F20" s="8">
        <f>SUM(F17+F19)</f>
        <v>24214.42</v>
      </c>
      <c r="G20" s="9"/>
    </row>
  </sheetData>
  <mergeCells count="8">
    <mergeCell ref="F18:G18"/>
    <mergeCell ref="F17:G17"/>
    <mergeCell ref="D17:E17"/>
    <mergeCell ref="F19:G19"/>
    <mergeCell ref="D18:E18"/>
    <mergeCell ref="D19:E19"/>
    <mergeCell ref="D20:E20"/>
    <mergeCell ref="F20:G2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15" sqref="H15"/>
    </sheetView>
  </sheetViews>
  <sheetFormatPr baseColWidth="10" defaultRowHeight="14.4" x14ac:dyDescent="0.3"/>
  <cols>
    <col min="1" max="2" width="23" customWidth="1"/>
    <col min="3" max="3" width="23.33203125" customWidth="1"/>
  </cols>
  <sheetData>
    <row r="1" spans="1:3" ht="18" x14ac:dyDescent="0.3">
      <c r="A1" s="40" t="s">
        <v>28</v>
      </c>
      <c r="B1" s="40" t="s">
        <v>27</v>
      </c>
      <c r="C1" s="40" t="s">
        <v>29</v>
      </c>
    </row>
    <row r="2" spans="1:3" ht="15.6" x14ac:dyDescent="0.3">
      <c r="A2" s="12">
        <v>1</v>
      </c>
      <c r="B2" s="12">
        <v>5</v>
      </c>
      <c r="C2" s="12">
        <f>B2/A2</f>
        <v>5</v>
      </c>
    </row>
    <row r="3" spans="1:3" ht="15.6" x14ac:dyDescent="0.3">
      <c r="A3" s="41">
        <v>2</v>
      </c>
      <c r="B3" s="41">
        <v>10</v>
      </c>
      <c r="C3" s="41">
        <f t="shared" ref="C3:C11" si="0">B3/A3</f>
        <v>5</v>
      </c>
    </row>
    <row r="4" spans="1:3" ht="15.6" x14ac:dyDescent="0.3">
      <c r="A4" s="12">
        <v>3</v>
      </c>
      <c r="B4" s="12">
        <v>17</v>
      </c>
      <c r="C4" s="12">
        <f t="shared" si="0"/>
        <v>5.666666666666667</v>
      </c>
    </row>
    <row r="5" spans="1:3" ht="15.6" x14ac:dyDescent="0.3">
      <c r="A5" s="41">
        <v>4</v>
      </c>
      <c r="B5" s="41">
        <v>27</v>
      </c>
      <c r="C5" s="41">
        <f t="shared" si="0"/>
        <v>6.75</v>
      </c>
    </row>
    <row r="6" spans="1:3" ht="15.6" x14ac:dyDescent="0.3">
      <c r="A6" s="12">
        <v>5</v>
      </c>
      <c r="B6" s="12">
        <v>37</v>
      </c>
      <c r="C6" s="12">
        <f t="shared" si="0"/>
        <v>7.4</v>
      </c>
    </row>
    <row r="7" spans="1:3" ht="15.6" x14ac:dyDescent="0.3">
      <c r="A7" s="41">
        <v>6</v>
      </c>
      <c r="B7" s="41">
        <v>49</v>
      </c>
      <c r="C7" s="41">
        <f t="shared" si="0"/>
        <v>8.1666666666666661</v>
      </c>
    </row>
    <row r="8" spans="1:3" ht="15.6" x14ac:dyDescent="0.3">
      <c r="A8" s="12">
        <v>7</v>
      </c>
      <c r="B8" s="12">
        <v>63</v>
      </c>
      <c r="C8" s="12">
        <f t="shared" si="0"/>
        <v>9</v>
      </c>
    </row>
    <row r="9" spans="1:3" ht="15.6" x14ac:dyDescent="0.3">
      <c r="A9" s="41">
        <v>8</v>
      </c>
      <c r="B9" s="41">
        <v>75</v>
      </c>
      <c r="C9" s="41">
        <f t="shared" si="0"/>
        <v>9.375</v>
      </c>
    </row>
    <row r="10" spans="1:3" ht="15.6" x14ac:dyDescent="0.3">
      <c r="A10" s="12">
        <v>9</v>
      </c>
      <c r="B10" s="12">
        <v>83</v>
      </c>
      <c r="C10" s="12">
        <f t="shared" si="0"/>
        <v>9.2222222222222214</v>
      </c>
    </row>
    <row r="11" spans="1:3" ht="15.6" x14ac:dyDescent="0.3">
      <c r="A11" s="41">
        <v>10</v>
      </c>
      <c r="B11" s="41">
        <v>91</v>
      </c>
      <c r="C11" s="41">
        <f t="shared" si="0"/>
        <v>9.1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7" sqref="M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3" sqref="M2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Question 1</vt:lpstr>
      <vt:lpstr>Question 2.1</vt:lpstr>
      <vt:lpstr>Question 2.2</vt:lpstr>
      <vt:lpstr>Question 2.3</vt:lpstr>
      <vt:lpstr>Question 3</vt:lpstr>
      <vt:lpstr>Question 4</vt:lpstr>
      <vt:lpstr>4 Table 1</vt:lpstr>
      <vt:lpstr>4 Tble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makhloufmeddad@hotmail.com</dc:creator>
  <cp:lastModifiedBy>makhloufmeddad@hotmail.com</cp:lastModifiedBy>
  <dcterms:created xsi:type="dcterms:W3CDTF">2023-12-29T09:55:00Z</dcterms:created>
  <dcterms:modified xsi:type="dcterms:W3CDTF">2023-12-30T22:24:12Z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1B08BD484A5D4563ABB54D9797DBA581_12</vt:lpwstr>
  </property>
  <property fmtid="{D5CDD505-2E9C-101B-9397-08002B2CF9AE}" pid="3" name="KSOProductBuildVer">
    <vt:lpwstr>1033-12.2.0.13359</vt:lpwstr>
  </property>
</Properties>
</file>